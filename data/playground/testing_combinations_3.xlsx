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460" windowWidth="25600" windowHeight="14340" tabRatio="500" activeTab="2"/>
  </bookViews>
  <sheets>
    <sheet name="Overview" sheetId="1" r:id="rId1"/>
    <sheet name="Result" sheetId="2" r:id="rId2"/>
    <sheet name="Results_Helene" sheetId="3" r:id="rId3"/>
  </sheet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K49" i="3" l="1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BO3" i="2"/>
  <c r="BO4" i="2"/>
  <c r="BO5" i="2"/>
  <c r="BO6" i="2"/>
  <c r="BO7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C9" i="2"/>
  <c r="H4" i="1"/>
  <c r="H30" i="1"/>
  <c r="H31" i="1"/>
  <c r="H32" i="1"/>
  <c r="H33" i="1"/>
  <c r="H34" i="1"/>
  <c r="H3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5" i="1"/>
</calcChain>
</file>

<file path=xl/sharedStrings.xml><?xml version="1.0" encoding="utf-8"?>
<sst xmlns="http://schemas.openxmlformats.org/spreadsheetml/2006/main" count="265" uniqueCount="136">
  <si>
    <t>Amenities</t>
  </si>
  <si>
    <t>Transit tfidf</t>
  </si>
  <si>
    <t>Description tfidf</t>
  </si>
  <si>
    <t>Neighborhood tfidf</t>
  </si>
  <si>
    <t>House rules tfidf</t>
  </si>
  <si>
    <t>Testing DM Projekt</t>
  </si>
  <si>
    <t>Normale Spalten</t>
  </si>
  <si>
    <t>Spalte1</t>
  </si>
  <si>
    <t>Test No.</t>
  </si>
  <si>
    <t xml:space="preserve"> DONE?</t>
  </si>
  <si>
    <t>FILL IN!</t>
  </si>
  <si>
    <t>CLASSIFIER\ACCURACY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</si>
  <si>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</si>
  <si>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</si>
  <si>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</si>
  <si>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</si>
  <si>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</si>
  <si>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</si>
  <si>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</si>
  <si>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</si>
  <si>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</si>
  <si>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</si>
  <si>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</si>
  <si>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</si>
  <si>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</si>
  <si>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</si>
  <si>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</si>
  <si>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</si>
  <si>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</si>
  <si>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</si>
  <si>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</si>
  <si>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</si>
  <si>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</si>
  <si>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</si>
  <si>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</si>
  <si>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</si>
  <si>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</si>
  <si>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</si>
  <si>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</si>
  <si>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</si>
  <si>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</si>
  <si>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</si>
  <si>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</si>
  <si>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</si>
  <si>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</si>
  <si>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</si>
  <si>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</si>
  <si>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</si>
  <si>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</si>
  <si>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</si>
  <si>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</si>
  <si>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</si>
  <si>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</si>
  <si>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</si>
  <si>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</si>
  <si>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</si>
  <si>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</si>
  <si>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</si>
  <si>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</si>
  <si>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</si>
  <si>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</si>
  <si>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</si>
  <si>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</si>
  <si>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</si>
  <si>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</si>
  <si>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</si>
  <si>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</si>
  <si>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</si>
  <si>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</si>
  <si>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</si>
  <si>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</si>
  <si>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</si>
  <si>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</si>
  <si>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</si>
  <si>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</si>
  <si>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</si>
  <si>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Naive Bayes</t>
  </si>
  <si>
    <t>SVM</t>
  </si>
  <si>
    <t>Nearest Centroid</t>
  </si>
  <si>
    <t>Decision Tree</t>
  </si>
  <si>
    <t>KNN</t>
  </si>
  <si>
    <t xml:space="preserve">LEGENDE </t>
  </si>
  <si>
    <t>DRIN =0</t>
  </si>
  <si>
    <t>RAUS = 1</t>
  </si>
  <si>
    <t>TASK FOR</t>
  </si>
  <si>
    <t>DONE</t>
  </si>
  <si>
    <t>MAX</t>
  </si>
  <si>
    <t>44.88</t>
  </si>
  <si>
    <t>34.64</t>
  </si>
  <si>
    <t>52.64</t>
  </si>
  <si>
    <t>36.60</t>
  </si>
  <si>
    <t>33.96</t>
  </si>
  <si>
    <t>44.28</t>
  </si>
  <si>
    <t>36.90</t>
  </si>
  <si>
    <t>45.18</t>
  </si>
  <si>
    <t>34.71</t>
  </si>
  <si>
    <t>43.98</t>
  </si>
  <si>
    <t>36.67</t>
  </si>
  <si>
    <t>45.26</t>
  </si>
  <si>
    <t>53.53</t>
  </si>
  <si>
    <t>37.05</t>
  </si>
  <si>
    <t>43.90</t>
  </si>
  <si>
    <t>53.54</t>
  </si>
  <si>
    <t>36.45</t>
  </si>
  <si>
    <t>44.73</t>
  </si>
  <si>
    <t>36.52</t>
  </si>
  <si>
    <t>44.20</t>
  </si>
  <si>
    <t>35.69</t>
  </si>
  <si>
    <t>36.97</t>
  </si>
  <si>
    <t>44.58</t>
  </si>
  <si>
    <t>35.39</t>
  </si>
  <si>
    <t>45.71</t>
  </si>
  <si>
    <t>36.30</t>
  </si>
  <si>
    <t>44.65</t>
  </si>
  <si>
    <t>34.79</t>
  </si>
  <si>
    <t>35.47</t>
  </si>
  <si>
    <t>45.41</t>
  </si>
  <si>
    <t>35.77</t>
  </si>
  <si>
    <t>44.35</t>
  </si>
  <si>
    <t>35.62</t>
  </si>
  <si>
    <t>44.95</t>
  </si>
  <si>
    <t>52.71</t>
  </si>
  <si>
    <t>44.05</t>
  </si>
  <si>
    <t>36.07</t>
  </si>
  <si>
    <t>44.80</t>
  </si>
  <si>
    <t>num_labels</t>
  </si>
  <si>
    <t>long_tfidf</t>
  </si>
  <si>
    <t>Accuracy_nb</t>
  </si>
  <si>
    <t>Accuracy_knn</t>
  </si>
  <si>
    <t>value of k</t>
  </si>
  <si>
    <t>Accuracy_dt</t>
  </si>
  <si>
    <t>Accuracy_svm</t>
  </si>
  <si>
    <t>Accuracy_nc</t>
  </si>
  <si>
    <t>Max_acc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</si>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</sst>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2" fontId="0" fillId="0" borderId="0" xfId="0" applyNumberFormat="1"/>
    <xf numFmtId="0" fontId="0" fillId="0" borderId="0" xfId="0" applyNumberFormat="1"/>
    <xf numFmtId="10" fontId="0" fillId="0" borderId="0" xfId="1" applyNumberFormat="1" applyFont="1"/>
    <xf numFmtId="0" fontId="0" fillId="0" borderId="0" xfId="1" applyNumberFormat="1" applyFont="1"/>
    <xf numFmtId="10" fontId="0" fillId="0" borderId="0" xfId="0" applyNumberFormat="1"/>
  </cellXfs>
  <cellStyles count="2">
    <cellStyle name="Prozent" xfId="1" builtinId="5"/>
    <cellStyle name="Standard" xfId="0" builtinId="0"/>
  </cellStyles>
  <dxfs count="3">
    <dxf>
      <numFmt numFmtId="0" formatCode="General"/>
    </dxf>
    <dxf>
      <numFmt numFmtId="2" formatCode="0.00"/>
    </dxf>
    <dxf>
      <font>
        <b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3" name="Tabelle3" displayName="Tabelle3" ref="A3:J35" totalsRowShown="0">
  <tableColumns count="10">
    <tableColumn id="1" name="Test No." dataDxfId="2"/>
    <tableColumn id="2" name="Normale Spalten"/>
    <tableColumn id="3" name="Amenities"/>
    <tableColumn id="4" name="Transit tfidf"/>
    <tableColumn id="5" name="Description tfidf"/>
    <tableColumn id="6" name="Neighborhood tfidf"/>
    <tableColumn id="7" name="House rules tfidf"/>
    <tableColumn id="8" name="Spalte1">
      <calculatedColumnFormula>G4*1+F4*2+E4*4+D4*8+C4*16+B4*32</calculatedColumnFormula>
    </tableColumn>
    <tableColumn id="9" name=" DONE?"/>
    <tableColumn id="10" name="TASK FOR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id="6" name="Tabelle6" displayName="Tabelle6" ref="C2:BO7" totalsRowShown="0">
  <autoFilter ref="C2:BO7"/>
  <tableColumns count="65">
    <tableColumn id="1" name="1" dataDxfId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  <tableColumn id="11" name="11"/>
    <tableColumn id="12" name="12"/>
    <tableColumn id="13" name="13"/>
    <tableColumn id="14" name="14"/>
    <tableColumn id="15" name="15"/>
    <tableColumn id="16" name="16"/>
    <tableColumn id="17" name="17"/>
    <tableColumn id="18" name="18"/>
    <tableColumn id="19" name="19"/>
    <tableColumn id="20" name="20"/>
    <tableColumn id="21" name="21"/>
    <tableColumn id="22" name="22"/>
    <tableColumn id="23" name="23"/>
    <tableColumn id="24" name="24"/>
    <tableColumn id="25" name="25"/>
    <tableColumn id="26" name="26"/>
    <tableColumn id="27" name="27"/>
    <tableColumn id="28" name="28"/>
    <tableColumn id="29" name="29"/>
    <tableColumn id="30" name="30"/>
    <tableColumn id="31" name="31"/>
    <tableColumn id="32" name="32"/>
    <tableColumn id="33" name="33"/>
    <tableColumn id="34" name="34"/>
    <tableColumn id="35" name="35"/>
    <tableColumn id="36" name="36"/>
    <tableColumn id="37" name="37"/>
    <tableColumn id="38" name="38"/>
    <tableColumn id="39" name="39"/>
    <tableColumn id="40" name="40"/>
    <tableColumn id="41" name="41"/>
    <tableColumn id="42" name="42"/>
    <tableColumn id="43" name="43"/>
    <tableColumn id="44" name="44"/>
    <tableColumn id="45" name="45"/>
    <tableColumn id="46" name="46"/>
    <tableColumn id="47" name="47"/>
    <tableColumn id="48" name="48"/>
    <tableColumn id="49" name="49"/>
    <tableColumn id="50" name="50"/>
    <tableColumn id="51" name="51"/>
    <tableColumn id="52" name="52"/>
    <tableColumn id="53" name="53"/>
    <tableColumn id="54" name="54"/>
    <tableColumn id="55" name="55"/>
    <tableColumn id="56" name="56"/>
    <tableColumn id="57" name="57"/>
    <tableColumn id="58" name="58"/>
    <tableColumn id="59" name="59"/>
    <tableColumn id="60" name="60"/>
    <tableColumn id="61" name="61"/>
    <tableColumn id="62" name="62"/>
    <tableColumn id="63" name="63"/>
    <tableColumn id="64" name="64"/>
    <tableColumn id="65" name="MAX" dataDxfId="0">
      <calculatedColumnFormula>MAX(Tabelle6[[#This Row],[1]:[64]])</calculatedColumnFormula>
    </tableColumn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zoomScale="120" zoomScaleNormal="120" zoomScalePageLayoutView="120" workbookViewId="0">
      <selection activeCell="K32" sqref="K32"/>
    </sheetView>
  </sheetViews>
  <sheetFormatPr baseColWidth="10" defaultRowHeight="15" x14ac:dyDescent="0"/>
  <cols>
    <col min="2" max="2" width="16.6640625" customWidth="1"/>
    <col min="4" max="4" width="12.33203125" customWidth="1"/>
    <col min="5" max="5" width="16.1640625" customWidth="1"/>
    <col min="6" max="6" width="18.6640625" customWidth="1"/>
    <col min="7" max="7" width="16.33203125" customWidth="1"/>
  </cols>
  <sheetData>
    <row r="1" spans="1:10">
      <c r="A1" s="4" t="s">
        <v>5</v>
      </c>
      <c r="B1" s="3"/>
      <c r="C1" s="3"/>
      <c r="D1" s="3"/>
      <c r="E1" s="3"/>
      <c r="F1" s="3"/>
      <c r="G1" s="3"/>
      <c r="H1" s="3"/>
    </row>
    <row r="2" spans="1:10">
      <c r="A2" s="3"/>
      <c r="B2" s="3" t="s">
        <v>81</v>
      </c>
      <c r="C2" s="3" t="s">
        <v>82</v>
      </c>
      <c r="D2" s="3" t="s">
        <v>83</v>
      </c>
      <c r="E2" s="3"/>
      <c r="F2" s="3"/>
      <c r="G2" s="3"/>
      <c r="H2" s="3"/>
      <c r="I2" s="2" t="s">
        <v>10</v>
      </c>
    </row>
    <row r="3" spans="1:10">
      <c r="A3" t="s">
        <v>8</v>
      </c>
      <c r="B3" t="s">
        <v>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7</v>
      </c>
      <c r="I3" t="s">
        <v>9</v>
      </c>
      <c r="J3" t="s">
        <v>84</v>
      </c>
    </row>
    <row r="4" spans="1:10">
      <c r="A4" s="1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f>G4*1+F4*2+E4*4+D4*8+C4*16+B4*32</f>
        <v>0</v>
      </c>
      <c r="I4" t="s">
        <v>85</v>
      </c>
    </row>
    <row r="5" spans="1:10">
      <c r="A5" s="1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f>G5*1+F5*2+E5*4+D5*8+C5*16+B5*32</f>
        <v>1</v>
      </c>
      <c r="I5" t="s">
        <v>85</v>
      </c>
    </row>
    <row r="6" spans="1:10">
      <c r="A6" s="1">
        <v>3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f t="shared" ref="H6:H35" si="0">G6*1+F6*2+E6*4+D6*8+C6*16+B6*32</f>
        <v>2</v>
      </c>
      <c r="I6" t="s">
        <v>85</v>
      </c>
    </row>
    <row r="7" spans="1:10">
      <c r="A7" s="1">
        <v>4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f t="shared" si="0"/>
        <v>3</v>
      </c>
      <c r="I7" t="s">
        <v>85</v>
      </c>
    </row>
    <row r="8" spans="1:10">
      <c r="A8" s="1">
        <v>5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f t="shared" si="0"/>
        <v>4</v>
      </c>
      <c r="I8" t="s">
        <v>85</v>
      </c>
    </row>
    <row r="9" spans="1:10">
      <c r="A9" s="1">
        <v>6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f t="shared" si="0"/>
        <v>5</v>
      </c>
      <c r="I9" t="s">
        <v>85</v>
      </c>
    </row>
    <row r="10" spans="1:10">
      <c r="A10" s="1">
        <v>7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f t="shared" si="0"/>
        <v>6</v>
      </c>
      <c r="I10" t="s">
        <v>85</v>
      </c>
    </row>
    <row r="11" spans="1:10">
      <c r="A11" s="1">
        <v>8</v>
      </c>
      <c r="B11">
        <v>0</v>
      </c>
      <c r="C11">
        <v>0</v>
      </c>
      <c r="D11">
        <v>0</v>
      </c>
      <c r="E11">
        <v>1</v>
      </c>
      <c r="F11">
        <v>1</v>
      </c>
      <c r="G11">
        <v>1</v>
      </c>
      <c r="H11">
        <f t="shared" si="0"/>
        <v>7</v>
      </c>
      <c r="I11" t="s">
        <v>85</v>
      </c>
    </row>
    <row r="12" spans="1:10">
      <c r="A12" s="1">
        <v>9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f t="shared" si="0"/>
        <v>8</v>
      </c>
      <c r="I12" t="s">
        <v>85</v>
      </c>
    </row>
    <row r="13" spans="1:10">
      <c r="A13" s="1">
        <v>10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f t="shared" si="0"/>
        <v>9</v>
      </c>
      <c r="I13" t="s">
        <v>85</v>
      </c>
    </row>
    <row r="14" spans="1:10">
      <c r="A14" s="1">
        <v>11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f t="shared" si="0"/>
        <v>10</v>
      </c>
      <c r="I14" t="s">
        <v>85</v>
      </c>
    </row>
    <row r="15" spans="1:10">
      <c r="A15" s="1">
        <v>12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H15">
        <f t="shared" si="0"/>
        <v>11</v>
      </c>
      <c r="I15" t="s">
        <v>85</v>
      </c>
    </row>
    <row r="16" spans="1:10">
      <c r="A16" s="1">
        <v>13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f t="shared" si="0"/>
        <v>12</v>
      </c>
      <c r="I16" t="s">
        <v>85</v>
      </c>
    </row>
    <row r="17" spans="1:9">
      <c r="A17" s="1">
        <v>14</v>
      </c>
      <c r="B17">
        <v>0</v>
      </c>
      <c r="C17">
        <v>0</v>
      </c>
      <c r="D17">
        <v>1</v>
      </c>
      <c r="E17">
        <v>1</v>
      </c>
      <c r="F17">
        <v>0</v>
      </c>
      <c r="G17">
        <v>1</v>
      </c>
      <c r="H17">
        <f t="shared" si="0"/>
        <v>13</v>
      </c>
      <c r="I17" t="s">
        <v>85</v>
      </c>
    </row>
    <row r="18" spans="1:9">
      <c r="A18" s="1">
        <v>15</v>
      </c>
      <c r="B18">
        <v>0</v>
      </c>
      <c r="C18">
        <v>0</v>
      </c>
      <c r="D18">
        <v>1</v>
      </c>
      <c r="E18">
        <v>1</v>
      </c>
      <c r="F18">
        <v>1</v>
      </c>
      <c r="G18">
        <v>0</v>
      </c>
      <c r="H18">
        <f t="shared" si="0"/>
        <v>14</v>
      </c>
      <c r="I18" t="s">
        <v>85</v>
      </c>
    </row>
    <row r="19" spans="1:9">
      <c r="A19" s="1">
        <v>16</v>
      </c>
      <c r="B19">
        <v>0</v>
      </c>
      <c r="C19">
        <v>0</v>
      </c>
      <c r="D19">
        <v>1</v>
      </c>
      <c r="E19">
        <v>1</v>
      </c>
      <c r="F19">
        <v>1</v>
      </c>
      <c r="G19">
        <v>1</v>
      </c>
      <c r="H19">
        <f t="shared" si="0"/>
        <v>15</v>
      </c>
      <c r="I19" t="s">
        <v>85</v>
      </c>
    </row>
    <row r="20" spans="1:9">
      <c r="A20" s="1">
        <v>17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f t="shared" si="0"/>
        <v>16</v>
      </c>
      <c r="I20" t="s">
        <v>85</v>
      </c>
    </row>
    <row r="21" spans="1:9">
      <c r="A21" s="1">
        <v>18</v>
      </c>
      <c r="B21">
        <v>0</v>
      </c>
      <c r="C21">
        <v>1</v>
      </c>
      <c r="D21">
        <v>0</v>
      </c>
      <c r="E21">
        <v>0</v>
      </c>
      <c r="F21">
        <v>0</v>
      </c>
      <c r="G21">
        <v>1</v>
      </c>
      <c r="H21">
        <f t="shared" si="0"/>
        <v>17</v>
      </c>
      <c r="I21" t="s">
        <v>85</v>
      </c>
    </row>
    <row r="22" spans="1:9">
      <c r="A22" s="1">
        <v>19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f t="shared" si="0"/>
        <v>18</v>
      </c>
      <c r="I22" t="s">
        <v>85</v>
      </c>
    </row>
    <row r="23" spans="1:9">
      <c r="A23" s="1">
        <v>20</v>
      </c>
      <c r="B23">
        <v>0</v>
      </c>
      <c r="C23">
        <v>1</v>
      </c>
      <c r="D23">
        <v>0</v>
      </c>
      <c r="E23">
        <v>0</v>
      </c>
      <c r="F23">
        <v>1</v>
      </c>
      <c r="G23">
        <v>1</v>
      </c>
      <c r="H23">
        <f t="shared" si="0"/>
        <v>19</v>
      </c>
      <c r="I23" t="s">
        <v>85</v>
      </c>
    </row>
    <row r="24" spans="1:9">
      <c r="A24" s="1">
        <v>21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f t="shared" si="0"/>
        <v>20</v>
      </c>
      <c r="I24" t="s">
        <v>85</v>
      </c>
    </row>
    <row r="25" spans="1:9">
      <c r="A25" s="1">
        <v>22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>
        <f t="shared" si="0"/>
        <v>21</v>
      </c>
      <c r="I25" t="s">
        <v>85</v>
      </c>
    </row>
    <row r="26" spans="1:9">
      <c r="A26" s="1">
        <v>23</v>
      </c>
      <c r="B26">
        <v>0</v>
      </c>
      <c r="C26">
        <v>1</v>
      </c>
      <c r="D26">
        <v>0</v>
      </c>
      <c r="E26">
        <v>1</v>
      </c>
      <c r="F26">
        <v>1</v>
      </c>
      <c r="G26">
        <v>0</v>
      </c>
      <c r="H26">
        <f t="shared" si="0"/>
        <v>22</v>
      </c>
      <c r="I26" t="s">
        <v>85</v>
      </c>
    </row>
    <row r="27" spans="1:9">
      <c r="A27" s="1">
        <v>24</v>
      </c>
      <c r="B27">
        <v>0</v>
      </c>
      <c r="C27">
        <v>1</v>
      </c>
      <c r="D27">
        <v>0</v>
      </c>
      <c r="E27">
        <v>1</v>
      </c>
      <c r="F27">
        <v>1</v>
      </c>
      <c r="G27">
        <v>1</v>
      </c>
      <c r="H27">
        <f t="shared" si="0"/>
        <v>23</v>
      </c>
      <c r="I27" t="s">
        <v>85</v>
      </c>
    </row>
    <row r="28" spans="1:9">
      <c r="A28" s="1">
        <v>25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>
        <f t="shared" si="0"/>
        <v>24</v>
      </c>
      <c r="I28" t="s">
        <v>85</v>
      </c>
    </row>
    <row r="29" spans="1:9">
      <c r="A29" s="1">
        <v>26</v>
      </c>
      <c r="B29">
        <v>0</v>
      </c>
      <c r="C29">
        <v>1</v>
      </c>
      <c r="D29">
        <v>1</v>
      </c>
      <c r="E29">
        <v>0</v>
      </c>
      <c r="F29">
        <v>0</v>
      </c>
      <c r="G29">
        <v>1</v>
      </c>
      <c r="H29">
        <f t="shared" si="0"/>
        <v>25</v>
      </c>
    </row>
    <row r="30" spans="1:9">
      <c r="A30" s="1">
        <v>27</v>
      </c>
      <c r="B30">
        <v>0</v>
      </c>
      <c r="C30">
        <v>1</v>
      </c>
      <c r="D30">
        <v>1</v>
      </c>
      <c r="E30">
        <v>0</v>
      </c>
      <c r="F30">
        <v>1</v>
      </c>
      <c r="G30">
        <v>0</v>
      </c>
      <c r="H30">
        <f t="shared" si="0"/>
        <v>26</v>
      </c>
    </row>
    <row r="31" spans="1:9">
      <c r="A31" s="1">
        <v>28</v>
      </c>
      <c r="B31">
        <v>0</v>
      </c>
      <c r="C31">
        <v>1</v>
      </c>
      <c r="D31">
        <v>1</v>
      </c>
      <c r="E31">
        <v>0</v>
      </c>
      <c r="F31">
        <v>1</v>
      </c>
      <c r="G31">
        <v>1</v>
      </c>
      <c r="H31">
        <f t="shared" si="0"/>
        <v>27</v>
      </c>
    </row>
    <row r="32" spans="1:9">
      <c r="A32" s="1">
        <v>29</v>
      </c>
      <c r="B32">
        <v>0</v>
      </c>
      <c r="C32">
        <v>1</v>
      </c>
      <c r="D32">
        <v>1</v>
      </c>
      <c r="E32">
        <v>1</v>
      </c>
      <c r="F32">
        <v>0</v>
      </c>
      <c r="G32">
        <v>0</v>
      </c>
      <c r="H32">
        <f t="shared" si="0"/>
        <v>28</v>
      </c>
    </row>
    <row r="33" spans="1:8">
      <c r="A33" s="1">
        <v>30</v>
      </c>
      <c r="B33">
        <v>0</v>
      </c>
      <c r="C33">
        <v>1</v>
      </c>
      <c r="D33">
        <v>1</v>
      </c>
      <c r="E33">
        <v>1</v>
      </c>
      <c r="F33">
        <v>0</v>
      </c>
      <c r="G33">
        <v>1</v>
      </c>
      <c r="H33">
        <f t="shared" si="0"/>
        <v>29</v>
      </c>
    </row>
    <row r="34" spans="1:8">
      <c r="A34" s="1">
        <v>31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>
        <f t="shared" si="0"/>
        <v>30</v>
      </c>
    </row>
    <row r="35" spans="1:8">
      <c r="A35" s="1">
        <v>32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f t="shared" si="0"/>
        <v>31</v>
      </c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O9"/>
  <sheetViews>
    <sheetView zoomScale="110" zoomScaleNormal="110" zoomScalePageLayoutView="110" workbookViewId="0">
      <selection activeCell="C21" sqref="C21"/>
    </sheetView>
  </sheetViews>
  <sheetFormatPr baseColWidth="10" defaultRowHeight="15" x14ac:dyDescent="0"/>
  <cols>
    <col min="2" max="2" width="18.33203125" customWidth="1"/>
  </cols>
  <sheetData>
    <row r="2" spans="1:67">
      <c r="A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  <c r="AZ2" t="s">
        <v>61</v>
      </c>
      <c r="BA2" t="s">
        <v>62</v>
      </c>
      <c r="BB2" t="s">
        <v>63</v>
      </c>
      <c r="BC2" t="s">
        <v>64</v>
      </c>
      <c r="BD2" t="s">
        <v>65</v>
      </c>
      <c r="BE2" t="s">
        <v>66</v>
      </c>
      <c r="BF2" t="s">
        <v>67</v>
      </c>
      <c r="BG2" t="s">
        <v>68</v>
      </c>
      <c r="BH2" t="s">
        <v>69</v>
      </c>
      <c r="BI2" t="s">
        <v>70</v>
      </c>
      <c r="BJ2" t="s">
        <v>71</v>
      </c>
      <c r="BK2" t="s">
        <v>72</v>
      </c>
      <c r="BL2" t="s">
        <v>73</v>
      </c>
      <c r="BM2" t="s">
        <v>74</v>
      </c>
      <c r="BN2" t="s">
        <v>75</v>
      </c>
      <c r="BO2" t="s">
        <v>86</v>
      </c>
    </row>
    <row r="3" spans="1:67">
      <c r="B3" s="3" t="s">
        <v>76</v>
      </c>
      <c r="C3" s="5" t="s">
        <v>87</v>
      </c>
      <c r="D3" t="s">
        <v>92</v>
      </c>
      <c r="E3" t="s">
        <v>94</v>
      </c>
      <c r="F3" t="s">
        <v>96</v>
      </c>
      <c r="G3" t="s">
        <v>98</v>
      </c>
      <c r="H3" t="s">
        <v>101</v>
      </c>
      <c r="I3" t="s">
        <v>104</v>
      </c>
      <c r="J3" t="s">
        <v>106</v>
      </c>
      <c r="K3" t="s">
        <v>98</v>
      </c>
      <c r="L3" t="s">
        <v>109</v>
      </c>
      <c r="M3" t="s">
        <v>87</v>
      </c>
      <c r="N3" t="s">
        <v>87</v>
      </c>
      <c r="O3" t="s">
        <v>111</v>
      </c>
      <c r="P3" t="s">
        <v>113</v>
      </c>
      <c r="Q3" t="s">
        <v>116</v>
      </c>
      <c r="R3" t="s">
        <v>118</v>
      </c>
      <c r="S3" t="s">
        <v>120</v>
      </c>
      <c r="T3" t="s">
        <v>122</v>
      </c>
      <c r="U3" t="s">
        <v>124</v>
      </c>
      <c r="BO3">
        <f>MAX(Tabelle6[[#This Row],[1]:[64]])</f>
        <v>0</v>
      </c>
    </row>
    <row r="4" spans="1:67">
      <c r="B4" s="3" t="s">
        <v>80</v>
      </c>
      <c r="C4" s="5" t="s">
        <v>88</v>
      </c>
      <c r="D4" t="s">
        <v>88</v>
      </c>
      <c r="E4" t="s">
        <v>95</v>
      </c>
      <c r="F4" t="s">
        <v>88</v>
      </c>
      <c r="G4" t="s">
        <v>95</v>
      </c>
      <c r="H4" t="s">
        <v>95</v>
      </c>
      <c r="I4" t="s">
        <v>95</v>
      </c>
      <c r="J4" t="s">
        <v>95</v>
      </c>
      <c r="K4" t="s">
        <v>95</v>
      </c>
      <c r="L4" t="s">
        <v>95</v>
      </c>
      <c r="M4" t="s">
        <v>95</v>
      </c>
      <c r="N4" t="s">
        <v>95</v>
      </c>
      <c r="O4" t="s">
        <v>95</v>
      </c>
      <c r="P4" t="s">
        <v>114</v>
      </c>
      <c r="Q4" t="s">
        <v>95</v>
      </c>
      <c r="R4" t="s">
        <v>114</v>
      </c>
      <c r="S4" t="s">
        <v>95</v>
      </c>
      <c r="T4" t="s">
        <v>114</v>
      </c>
      <c r="U4" t="s">
        <v>95</v>
      </c>
      <c r="BO4">
        <f>MAX(Tabelle6[[#This Row],[1]:[64]])</f>
        <v>0</v>
      </c>
    </row>
    <row r="5" spans="1:67">
      <c r="B5" s="3" t="s">
        <v>79</v>
      </c>
      <c r="C5" s="5" t="s">
        <v>89</v>
      </c>
      <c r="D5" t="s">
        <v>89</v>
      </c>
      <c r="E5" t="s">
        <v>89</v>
      </c>
      <c r="F5" t="s">
        <v>89</v>
      </c>
      <c r="G5" t="s">
        <v>99</v>
      </c>
      <c r="H5" t="s">
        <v>102</v>
      </c>
      <c r="I5" t="s">
        <v>102</v>
      </c>
      <c r="J5" t="s">
        <v>102</v>
      </c>
      <c r="K5" t="s">
        <v>89</v>
      </c>
      <c r="L5" t="s">
        <v>89</v>
      </c>
      <c r="M5" t="s">
        <v>89</v>
      </c>
      <c r="N5" t="s">
        <v>89</v>
      </c>
      <c r="O5" t="s">
        <v>102</v>
      </c>
      <c r="P5" t="s">
        <v>102</v>
      </c>
      <c r="Q5" t="s">
        <v>102</v>
      </c>
      <c r="R5" t="s">
        <v>102</v>
      </c>
      <c r="S5" t="s">
        <v>121</v>
      </c>
      <c r="T5" t="s">
        <v>89</v>
      </c>
      <c r="U5" t="s">
        <v>121</v>
      </c>
      <c r="BO5">
        <f>MAX(Tabelle6[[#This Row],[1]:[64]])</f>
        <v>0</v>
      </c>
    </row>
    <row r="6" spans="1:67">
      <c r="B6" s="3" t="s">
        <v>77</v>
      </c>
      <c r="C6" s="5" t="s">
        <v>90</v>
      </c>
      <c r="D6" t="s">
        <v>93</v>
      </c>
      <c r="E6" t="s">
        <v>93</v>
      </c>
      <c r="F6" t="s">
        <v>97</v>
      </c>
      <c r="G6" t="s">
        <v>100</v>
      </c>
      <c r="H6" t="s">
        <v>103</v>
      </c>
      <c r="I6" t="s">
        <v>105</v>
      </c>
      <c r="J6" t="s">
        <v>107</v>
      </c>
      <c r="K6" t="s">
        <v>108</v>
      </c>
      <c r="L6" t="s">
        <v>105</v>
      </c>
      <c r="M6" t="s">
        <v>97</v>
      </c>
      <c r="N6" t="s">
        <v>110</v>
      </c>
      <c r="O6" t="s">
        <v>112</v>
      </c>
      <c r="P6" t="s">
        <v>115</v>
      </c>
      <c r="Q6" t="s">
        <v>117</v>
      </c>
      <c r="R6" t="s">
        <v>119</v>
      </c>
      <c r="S6" t="s">
        <v>90</v>
      </c>
      <c r="T6" t="s">
        <v>123</v>
      </c>
      <c r="U6" t="s">
        <v>123</v>
      </c>
      <c r="BO6">
        <f>MAX(Tabelle6[[#This Row],[1]:[64]])</f>
        <v>0</v>
      </c>
    </row>
    <row r="7" spans="1:67">
      <c r="B7" s="3" t="s">
        <v>78</v>
      </c>
      <c r="C7" s="5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91</v>
      </c>
      <c r="BO7">
        <f>MAX(Tabelle6[[#This Row],[1]:[64]])</f>
        <v>0</v>
      </c>
    </row>
    <row r="9" spans="1:67">
      <c r="B9" s="3" t="s">
        <v>86</v>
      </c>
      <c r="C9" s="5">
        <f>MAX(C3:C7)</f>
        <v>0</v>
      </c>
      <c r="D9" s="5">
        <f t="shared" ref="D9:BN9" si="0">MAX(D3:D7)</f>
        <v>0</v>
      </c>
      <c r="E9" s="5">
        <f t="shared" si="0"/>
        <v>0</v>
      </c>
      <c r="F9" s="5">
        <f t="shared" si="0"/>
        <v>0</v>
      </c>
      <c r="G9" s="5">
        <f t="shared" si="0"/>
        <v>0</v>
      </c>
      <c r="H9" s="5">
        <f t="shared" si="0"/>
        <v>0</v>
      </c>
      <c r="I9" s="5">
        <f t="shared" si="0"/>
        <v>0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0</v>
      </c>
      <c r="N9" s="5">
        <f t="shared" si="0"/>
        <v>0</v>
      </c>
      <c r="O9" s="5">
        <f t="shared" si="0"/>
        <v>0</v>
      </c>
      <c r="P9" s="5">
        <f t="shared" si="0"/>
        <v>0</v>
      </c>
      <c r="Q9" s="5">
        <f t="shared" si="0"/>
        <v>0</v>
      </c>
      <c r="R9" s="5">
        <f t="shared" si="0"/>
        <v>0</v>
      </c>
      <c r="S9" s="5">
        <f t="shared" si="0"/>
        <v>0</v>
      </c>
      <c r="T9" s="5">
        <f t="shared" si="0"/>
        <v>0</v>
      </c>
      <c r="U9" s="5">
        <f t="shared" si="0"/>
        <v>0</v>
      </c>
      <c r="V9" s="5">
        <f t="shared" si="0"/>
        <v>0</v>
      </c>
      <c r="W9" s="5">
        <f t="shared" si="0"/>
        <v>0</v>
      </c>
      <c r="X9" s="5">
        <f t="shared" si="0"/>
        <v>0</v>
      </c>
      <c r="Y9" s="5">
        <f t="shared" si="0"/>
        <v>0</v>
      </c>
      <c r="Z9" s="5">
        <f t="shared" si="0"/>
        <v>0</v>
      </c>
      <c r="AA9" s="5">
        <f t="shared" si="0"/>
        <v>0</v>
      </c>
      <c r="AB9" s="5">
        <f t="shared" si="0"/>
        <v>0</v>
      </c>
      <c r="AC9" s="5">
        <f t="shared" si="0"/>
        <v>0</v>
      </c>
      <c r="AD9" s="5">
        <f t="shared" si="0"/>
        <v>0</v>
      </c>
      <c r="AE9" s="5">
        <f t="shared" si="0"/>
        <v>0</v>
      </c>
      <c r="AF9" s="5">
        <f t="shared" si="0"/>
        <v>0</v>
      </c>
      <c r="AG9" s="5">
        <f t="shared" si="0"/>
        <v>0</v>
      </c>
      <c r="AH9" s="5">
        <f t="shared" si="0"/>
        <v>0</v>
      </c>
      <c r="AI9" s="5">
        <f t="shared" si="0"/>
        <v>0</v>
      </c>
      <c r="AJ9" s="5">
        <f t="shared" si="0"/>
        <v>0</v>
      </c>
      <c r="AK9" s="5">
        <f t="shared" si="0"/>
        <v>0</v>
      </c>
      <c r="AL9" s="5">
        <f t="shared" si="0"/>
        <v>0</v>
      </c>
      <c r="AM9" s="5">
        <f t="shared" si="0"/>
        <v>0</v>
      </c>
      <c r="AN9" s="5">
        <f t="shared" si="0"/>
        <v>0</v>
      </c>
      <c r="AO9" s="5">
        <f t="shared" si="0"/>
        <v>0</v>
      </c>
      <c r="AP9" s="5">
        <f t="shared" si="0"/>
        <v>0</v>
      </c>
      <c r="AQ9" s="5">
        <f t="shared" si="0"/>
        <v>0</v>
      </c>
      <c r="AR9" s="5">
        <f t="shared" si="0"/>
        <v>0</v>
      </c>
      <c r="AS9" s="5">
        <f t="shared" si="0"/>
        <v>0</v>
      </c>
      <c r="AT9" s="5">
        <f t="shared" si="0"/>
        <v>0</v>
      </c>
      <c r="AU9" s="5">
        <f t="shared" si="0"/>
        <v>0</v>
      </c>
      <c r="AV9" s="5">
        <f t="shared" si="0"/>
        <v>0</v>
      </c>
      <c r="AW9" s="5">
        <f t="shared" si="0"/>
        <v>0</v>
      </c>
      <c r="AX9" s="5">
        <f t="shared" si="0"/>
        <v>0</v>
      </c>
      <c r="AY9" s="5">
        <f t="shared" si="0"/>
        <v>0</v>
      </c>
      <c r="AZ9" s="5">
        <f t="shared" si="0"/>
        <v>0</v>
      </c>
      <c r="BA9" s="5">
        <f t="shared" si="0"/>
        <v>0</v>
      </c>
      <c r="BB9" s="5">
        <f t="shared" si="0"/>
        <v>0</v>
      </c>
      <c r="BC9" s="5">
        <f t="shared" si="0"/>
        <v>0</v>
      </c>
      <c r="BD9" s="5">
        <f t="shared" si="0"/>
        <v>0</v>
      </c>
      <c r="BE9" s="5">
        <f t="shared" si="0"/>
        <v>0</v>
      </c>
      <c r="BF9" s="5">
        <f t="shared" si="0"/>
        <v>0</v>
      </c>
      <c r="BG9" s="5">
        <f t="shared" si="0"/>
        <v>0</v>
      </c>
      <c r="BH9" s="5">
        <f t="shared" si="0"/>
        <v>0</v>
      </c>
      <c r="BI9" s="5">
        <f t="shared" si="0"/>
        <v>0</v>
      </c>
      <c r="BJ9" s="5">
        <f t="shared" si="0"/>
        <v>0</v>
      </c>
      <c r="BK9" s="5">
        <f t="shared" si="0"/>
        <v>0</v>
      </c>
      <c r="BL9" s="5">
        <f t="shared" si="0"/>
        <v>0</v>
      </c>
      <c r="BM9" s="5">
        <f t="shared" si="0"/>
        <v>0</v>
      </c>
      <c r="BN9" s="5">
        <f t="shared" si="0"/>
        <v>0</v>
      </c>
    </row>
  </sheetData>
  <pageMargins left="0.7" right="0.7" top="0.78740157499999996" bottom="0.78740157499999996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workbookViewId="0">
      <selection activeCell="N13" sqref="N13"/>
    </sheetView>
  </sheetViews>
  <sheetFormatPr baseColWidth="10" defaultRowHeight="15" x14ac:dyDescent="0"/>
  <cols>
    <col min="4" max="4" width="11.6640625" bestFit="1" customWidth="1"/>
    <col min="5" max="5" width="12.5" bestFit="1" customWidth="1"/>
    <col min="6" max="6" width="12.5" style="6" customWidth="1"/>
    <col min="7" max="7" width="11.33203125" bestFit="1" customWidth="1"/>
    <col min="8" max="8" width="12.83203125" bestFit="1" customWidth="1"/>
    <col min="9" max="9" width="11.5" bestFit="1" customWidth="1"/>
  </cols>
  <sheetData>
    <row r="1" spans="1:11">
      <c r="A1" t="s">
        <v>8</v>
      </c>
      <c r="B1" t="s">
        <v>125</v>
      </c>
      <c r="C1" t="s">
        <v>126</v>
      </c>
      <c r="D1" t="s">
        <v>127</v>
      </c>
      <c r="E1" t="s">
        <v>128</v>
      </c>
      <c r="F1" s="6" t="s">
        <v>129</v>
      </c>
      <c r="G1" t="s">
        <v>130</v>
      </c>
      <c r="H1" t="s">
        <v>131</v>
      </c>
      <c r="I1" t="s">
        <v>132</v>
      </c>
      <c r="K1" t="s">
        <v>133</v>
      </c>
    </row>
    <row r="2" spans="1:11">
      <c r="A2">
        <v>20</v>
      </c>
      <c r="B2">
        <v>2</v>
      </c>
      <c r="C2" t="s">
        <v>134</v>
      </c>
      <c r="D2" s="7">
        <v>0.6401</v>
      </c>
      <c r="E2" s="7">
        <v>0.55120000000000002</v>
      </c>
      <c r="F2" s="8"/>
      <c r="G2" s="7">
        <v>0.72360000000000002</v>
      </c>
      <c r="H2" s="7">
        <v>0.53239999999999998</v>
      </c>
      <c r="I2" s="7">
        <v>0.52710000000000001</v>
      </c>
      <c r="K2" s="9">
        <f t="shared" ref="K2:K49" si="0">MAX(D2:E2,G2:I2)</f>
        <v>0.72360000000000002</v>
      </c>
    </row>
    <row r="3" spans="1:11">
      <c r="A3">
        <v>20</v>
      </c>
      <c r="B3">
        <v>2</v>
      </c>
      <c r="C3" t="s">
        <v>135</v>
      </c>
      <c r="D3" s="7">
        <v>0.6431</v>
      </c>
      <c r="E3" s="7">
        <v>0.55049999999999999</v>
      </c>
      <c r="F3" s="8"/>
      <c r="G3" s="7">
        <v>0.72360000000000002</v>
      </c>
      <c r="H3" s="7">
        <v>0.52790000000000004</v>
      </c>
      <c r="I3" s="7">
        <v>0.52710000000000001</v>
      </c>
      <c r="K3" s="9">
        <f t="shared" si="0"/>
        <v>0.72360000000000002</v>
      </c>
    </row>
    <row r="4" spans="1:11">
      <c r="A4">
        <v>20</v>
      </c>
      <c r="B4">
        <v>3</v>
      </c>
      <c r="C4" t="s">
        <v>134</v>
      </c>
      <c r="D4" s="7">
        <v>0.44500000000000001</v>
      </c>
      <c r="E4" s="7">
        <v>0.34789999999999999</v>
      </c>
      <c r="F4" s="8"/>
      <c r="G4" s="7">
        <v>0.52329999999999999</v>
      </c>
      <c r="H4" s="7">
        <v>0.36520000000000002</v>
      </c>
      <c r="I4" s="7">
        <v>0.33960000000000001</v>
      </c>
      <c r="K4" s="9">
        <f t="shared" si="0"/>
        <v>0.52329999999999999</v>
      </c>
    </row>
    <row r="5" spans="1:11">
      <c r="A5">
        <v>20</v>
      </c>
      <c r="B5">
        <v>3</v>
      </c>
      <c r="C5" t="s">
        <v>135</v>
      </c>
      <c r="D5" s="7">
        <v>0.45329999999999998</v>
      </c>
      <c r="E5" s="7">
        <v>0.34789999999999999</v>
      </c>
      <c r="F5" s="8"/>
      <c r="G5" s="7">
        <v>0.52639999999999998</v>
      </c>
      <c r="H5" s="7">
        <v>0.35239999999999999</v>
      </c>
      <c r="I5" s="7">
        <v>0.33960000000000001</v>
      </c>
      <c r="K5" s="9">
        <f t="shared" si="0"/>
        <v>0.52639999999999998</v>
      </c>
    </row>
    <row r="6" spans="1:11">
      <c r="A6">
        <v>20</v>
      </c>
      <c r="B6">
        <v>4</v>
      </c>
      <c r="C6" t="s">
        <v>134</v>
      </c>
      <c r="D6" s="7">
        <v>0.33729999999999999</v>
      </c>
      <c r="E6" s="7">
        <v>0.2944</v>
      </c>
      <c r="F6" s="8"/>
      <c r="G6" s="7">
        <v>0.42699999999999999</v>
      </c>
      <c r="H6" s="7">
        <v>0.29670000000000002</v>
      </c>
      <c r="I6" s="7">
        <v>0.22140000000000001</v>
      </c>
      <c r="K6" s="9">
        <f t="shared" si="0"/>
        <v>0.42699999999999999</v>
      </c>
    </row>
    <row r="7" spans="1:11">
      <c r="A7">
        <v>20</v>
      </c>
      <c r="B7">
        <v>4</v>
      </c>
      <c r="C7" t="s">
        <v>135</v>
      </c>
      <c r="D7" s="7">
        <v>0.34339999999999998</v>
      </c>
      <c r="E7" s="7">
        <v>0.2944</v>
      </c>
      <c r="F7" s="8"/>
      <c r="G7" s="7">
        <v>0.4194</v>
      </c>
      <c r="H7" s="7">
        <v>0.29220000000000002</v>
      </c>
      <c r="I7" s="7">
        <v>0.22140000000000001</v>
      </c>
      <c r="K7" s="9">
        <f t="shared" si="0"/>
        <v>0.4194</v>
      </c>
    </row>
    <row r="8" spans="1:11">
      <c r="A8">
        <v>20</v>
      </c>
      <c r="B8">
        <v>5</v>
      </c>
      <c r="C8" t="s">
        <v>134</v>
      </c>
      <c r="D8" s="7">
        <v>0.2989</v>
      </c>
      <c r="E8" s="7">
        <v>0.22439999999999999</v>
      </c>
      <c r="F8" s="8"/>
      <c r="G8" s="7">
        <v>0.39460000000000001</v>
      </c>
      <c r="H8" s="7">
        <v>0.21079999999999999</v>
      </c>
      <c r="I8" s="7">
        <v>0.1883</v>
      </c>
      <c r="K8" s="9">
        <f t="shared" si="0"/>
        <v>0.39460000000000001</v>
      </c>
    </row>
    <row r="9" spans="1:11">
      <c r="A9">
        <v>20</v>
      </c>
      <c r="B9">
        <v>5</v>
      </c>
      <c r="C9" t="s">
        <v>135</v>
      </c>
      <c r="D9" s="7">
        <v>0.30869999999999997</v>
      </c>
      <c r="E9" s="7">
        <v>0.22439999999999999</v>
      </c>
      <c r="F9" s="8"/>
      <c r="G9" s="7">
        <v>0.39460000000000001</v>
      </c>
      <c r="H9" s="7">
        <v>0.23269999999999999</v>
      </c>
      <c r="I9" s="7">
        <v>0.1883</v>
      </c>
      <c r="K9" s="9">
        <f t="shared" si="0"/>
        <v>0.39460000000000001</v>
      </c>
    </row>
    <row r="10" spans="1:11">
      <c r="A10">
        <v>21</v>
      </c>
      <c r="B10">
        <v>2</v>
      </c>
      <c r="C10" t="s">
        <v>134</v>
      </c>
      <c r="D10" s="7">
        <v>0.64380000000000004</v>
      </c>
      <c r="E10" s="7">
        <v>0.55120000000000002</v>
      </c>
      <c r="F10" s="8"/>
      <c r="G10" s="7">
        <v>0.72360000000000002</v>
      </c>
      <c r="H10" s="7">
        <v>0.53839999999999999</v>
      </c>
      <c r="I10" s="7">
        <v>0.52710000000000001</v>
      </c>
      <c r="K10" s="9">
        <f t="shared" si="0"/>
        <v>0.72360000000000002</v>
      </c>
    </row>
    <row r="11" spans="1:11">
      <c r="A11">
        <v>21</v>
      </c>
      <c r="B11">
        <v>2</v>
      </c>
      <c r="C11" t="s">
        <v>135</v>
      </c>
      <c r="D11" s="7">
        <v>0.66639999999999999</v>
      </c>
      <c r="E11" s="7">
        <v>0.55120000000000002</v>
      </c>
      <c r="F11" s="8"/>
      <c r="G11" s="7">
        <v>0.72670000000000001</v>
      </c>
      <c r="H11" s="7">
        <v>0.53159999999999996</v>
      </c>
      <c r="I11" s="7">
        <v>0.52710000000000001</v>
      </c>
      <c r="K11" s="9">
        <f t="shared" si="0"/>
        <v>0.72670000000000001</v>
      </c>
    </row>
    <row r="12" spans="1:11">
      <c r="A12">
        <v>21</v>
      </c>
      <c r="B12">
        <v>3</v>
      </c>
      <c r="C12" t="s">
        <v>134</v>
      </c>
      <c r="D12" s="7">
        <v>0.44729999999999998</v>
      </c>
      <c r="E12" s="7">
        <v>0.34789999999999999</v>
      </c>
      <c r="F12" s="8">
        <v>3</v>
      </c>
      <c r="G12" s="7">
        <v>0.53539999999999999</v>
      </c>
      <c r="H12" s="7">
        <v>0.36599999999999999</v>
      </c>
      <c r="I12" s="7">
        <v>0.33960000000000001</v>
      </c>
      <c r="K12" s="9">
        <f>MAX(D12:E12,G12:I12)</f>
        <v>0.53539999999999999</v>
      </c>
    </row>
    <row r="13" spans="1:11">
      <c r="A13">
        <v>21</v>
      </c>
      <c r="B13">
        <v>3</v>
      </c>
      <c r="C13" t="s">
        <v>135</v>
      </c>
      <c r="D13" s="7">
        <v>0.45710000000000001</v>
      </c>
      <c r="E13" s="7">
        <v>0.34710000000000002</v>
      </c>
      <c r="F13" s="8">
        <v>3</v>
      </c>
      <c r="G13" s="7">
        <v>0.53539999999999999</v>
      </c>
      <c r="H13" s="7">
        <v>0.35620000000000002</v>
      </c>
      <c r="I13" s="7">
        <v>0.33960000000000001</v>
      </c>
      <c r="K13" s="9">
        <f t="shared" si="0"/>
        <v>0.53539999999999999</v>
      </c>
    </row>
    <row r="14" spans="1:11">
      <c r="A14">
        <v>21</v>
      </c>
      <c r="B14">
        <v>4</v>
      </c>
      <c r="C14" t="s">
        <v>134</v>
      </c>
      <c r="D14" s="7">
        <v>0.34939999999999999</v>
      </c>
      <c r="E14" s="7">
        <v>0.29520000000000002</v>
      </c>
      <c r="F14" s="8">
        <v>2</v>
      </c>
      <c r="G14" s="7">
        <v>0.42770000000000002</v>
      </c>
      <c r="H14" s="7">
        <v>0.28989999999999999</v>
      </c>
      <c r="I14" s="7">
        <v>0.22140000000000001</v>
      </c>
      <c r="K14" s="9">
        <f t="shared" si="0"/>
        <v>0.42770000000000002</v>
      </c>
    </row>
    <row r="15" spans="1:11">
      <c r="A15">
        <v>21</v>
      </c>
      <c r="B15">
        <v>4</v>
      </c>
      <c r="C15" t="s">
        <v>135</v>
      </c>
      <c r="D15" s="7">
        <v>0.36969999999999997</v>
      </c>
      <c r="E15" s="7">
        <v>0.29520000000000002</v>
      </c>
      <c r="F15" s="8">
        <v>2</v>
      </c>
      <c r="G15" s="7">
        <v>0.4239</v>
      </c>
      <c r="H15" s="7">
        <v>0.28920000000000001</v>
      </c>
      <c r="I15" s="7">
        <v>0.22140000000000001</v>
      </c>
      <c r="K15" s="9">
        <f t="shared" si="0"/>
        <v>0.4239</v>
      </c>
    </row>
    <row r="16" spans="1:11">
      <c r="A16">
        <v>21</v>
      </c>
      <c r="B16">
        <v>5</v>
      </c>
      <c r="C16" t="s">
        <v>134</v>
      </c>
      <c r="D16" s="7">
        <v>0.3155</v>
      </c>
      <c r="E16" s="7">
        <v>0.22439999999999999</v>
      </c>
      <c r="F16" s="8">
        <v>4</v>
      </c>
      <c r="G16" s="7">
        <v>0.39460000000000001</v>
      </c>
      <c r="H16" s="7">
        <v>0.21229999999999999</v>
      </c>
      <c r="I16" s="7">
        <v>0.1883</v>
      </c>
      <c r="K16" s="9">
        <f t="shared" si="0"/>
        <v>0.39460000000000001</v>
      </c>
    </row>
    <row r="17" spans="1:11">
      <c r="A17">
        <v>21</v>
      </c>
      <c r="B17">
        <v>5</v>
      </c>
      <c r="C17" t="s">
        <v>135</v>
      </c>
      <c r="D17" s="7">
        <v>0.32529999999999998</v>
      </c>
      <c r="E17" s="7">
        <v>0.22439999999999999</v>
      </c>
      <c r="F17" s="8">
        <v>4</v>
      </c>
      <c r="G17" s="7">
        <v>0.39460000000000001</v>
      </c>
      <c r="H17" s="7">
        <v>0.22589999999999999</v>
      </c>
      <c r="I17" s="7">
        <v>0.1883</v>
      </c>
      <c r="K17" s="9">
        <f t="shared" si="0"/>
        <v>0.39460000000000001</v>
      </c>
    </row>
    <row r="18" spans="1:11">
      <c r="A18">
        <v>22</v>
      </c>
      <c r="B18">
        <v>2</v>
      </c>
      <c r="C18" t="s">
        <v>134</v>
      </c>
      <c r="D18" s="7">
        <v>0.63549999999999995</v>
      </c>
      <c r="E18" s="7">
        <v>0.55120000000000002</v>
      </c>
      <c r="F18" s="8">
        <v>5</v>
      </c>
      <c r="G18" s="7">
        <v>0.72360000000000002</v>
      </c>
      <c r="H18" s="7">
        <v>0.53839999999999999</v>
      </c>
      <c r="I18" s="7">
        <v>0.52710000000000001</v>
      </c>
      <c r="K18" s="9">
        <f t="shared" si="0"/>
        <v>0.72360000000000002</v>
      </c>
    </row>
    <row r="19" spans="1:11">
      <c r="A19">
        <v>22</v>
      </c>
      <c r="B19">
        <v>2</v>
      </c>
      <c r="C19" t="s">
        <v>135</v>
      </c>
      <c r="D19" s="7">
        <v>0.64380000000000004</v>
      </c>
      <c r="E19" s="7">
        <v>0.55120000000000002</v>
      </c>
      <c r="F19" s="8">
        <v>5</v>
      </c>
      <c r="G19" s="7">
        <v>0.72360000000000002</v>
      </c>
      <c r="H19" s="7">
        <v>0.52639999999999998</v>
      </c>
      <c r="I19" s="7">
        <v>0.52710000000000001</v>
      </c>
      <c r="K19" s="9">
        <f t="shared" si="0"/>
        <v>0.72360000000000002</v>
      </c>
    </row>
    <row r="20" spans="1:11">
      <c r="A20">
        <v>22</v>
      </c>
      <c r="B20">
        <v>3</v>
      </c>
      <c r="C20" t="s">
        <v>134</v>
      </c>
      <c r="D20" s="7">
        <v>0.4405</v>
      </c>
      <c r="E20" s="7">
        <v>0.34789999999999999</v>
      </c>
      <c r="F20" s="8">
        <v>3</v>
      </c>
      <c r="G20" s="7">
        <v>0.53459999999999996</v>
      </c>
      <c r="H20" s="7">
        <v>0.36749999999999999</v>
      </c>
      <c r="I20" s="7">
        <v>0.33960000000000001</v>
      </c>
      <c r="K20" s="9">
        <f t="shared" si="0"/>
        <v>0.53459999999999996</v>
      </c>
    </row>
    <row r="21" spans="1:11">
      <c r="A21">
        <v>22</v>
      </c>
      <c r="B21">
        <v>3</v>
      </c>
      <c r="C21" t="s">
        <v>135</v>
      </c>
      <c r="D21" s="7">
        <v>0.4556</v>
      </c>
      <c r="E21" s="7">
        <v>0.34710000000000002</v>
      </c>
      <c r="F21" s="8">
        <v>3</v>
      </c>
      <c r="G21" s="7">
        <v>0.53459999999999996</v>
      </c>
      <c r="H21" s="7">
        <v>0.34939999999999999</v>
      </c>
      <c r="I21" s="7">
        <v>0.33960000000000001</v>
      </c>
      <c r="K21" s="9">
        <f t="shared" si="0"/>
        <v>0.53459999999999996</v>
      </c>
    </row>
    <row r="22" spans="1:11">
      <c r="A22">
        <v>22</v>
      </c>
      <c r="B22">
        <v>4</v>
      </c>
      <c r="C22" t="s">
        <v>134</v>
      </c>
      <c r="D22" s="7">
        <v>0.34639999999999999</v>
      </c>
      <c r="E22" s="7">
        <v>0.2944</v>
      </c>
      <c r="F22" s="8">
        <v>2</v>
      </c>
      <c r="G22" s="7">
        <v>0.42770000000000002</v>
      </c>
      <c r="H22" s="7">
        <v>0.28460000000000002</v>
      </c>
      <c r="I22" s="7">
        <v>0.22140000000000001</v>
      </c>
      <c r="K22" s="9">
        <f t="shared" si="0"/>
        <v>0.42770000000000002</v>
      </c>
    </row>
    <row r="23" spans="1:11">
      <c r="A23">
        <v>22</v>
      </c>
      <c r="B23">
        <v>4</v>
      </c>
      <c r="C23" t="s">
        <v>135</v>
      </c>
      <c r="D23" s="7">
        <v>0.36521999999999999</v>
      </c>
      <c r="E23" s="7">
        <v>0.29520000000000002</v>
      </c>
      <c r="F23" s="8">
        <v>2</v>
      </c>
      <c r="G23" s="7">
        <v>0.4239</v>
      </c>
      <c r="H23" s="7">
        <v>0.28989999999999999</v>
      </c>
      <c r="I23" s="7">
        <v>0.22140000000000001</v>
      </c>
      <c r="K23" s="9">
        <f t="shared" si="0"/>
        <v>0.4239</v>
      </c>
    </row>
    <row r="24" spans="1:11">
      <c r="A24">
        <v>22</v>
      </c>
      <c r="B24">
        <v>5</v>
      </c>
      <c r="C24" t="s">
        <v>134</v>
      </c>
      <c r="D24" s="7">
        <v>0.2944</v>
      </c>
      <c r="E24" s="7">
        <v>0.22440000000000002</v>
      </c>
      <c r="F24" s="8">
        <v>4</v>
      </c>
      <c r="G24" s="7">
        <v>0.39460000000000001</v>
      </c>
      <c r="H24" s="7">
        <v>0.21609999999999999</v>
      </c>
      <c r="I24" s="7">
        <v>0.1883</v>
      </c>
      <c r="K24" s="9">
        <f t="shared" si="0"/>
        <v>0.39460000000000001</v>
      </c>
    </row>
    <row r="25" spans="1:11">
      <c r="A25">
        <v>22</v>
      </c>
      <c r="B25">
        <v>5</v>
      </c>
      <c r="C25" t="s">
        <v>135</v>
      </c>
      <c r="D25" s="7">
        <v>0.31850000000000001</v>
      </c>
      <c r="E25" s="7">
        <v>0.22440000000000002</v>
      </c>
      <c r="F25" s="8">
        <v>4</v>
      </c>
      <c r="G25" s="7">
        <v>0.39460000000000001</v>
      </c>
      <c r="H25" s="7">
        <v>0.23420000000000002</v>
      </c>
      <c r="I25" s="7">
        <v>0.1883</v>
      </c>
      <c r="K25" s="9">
        <f t="shared" si="0"/>
        <v>0.39460000000000001</v>
      </c>
    </row>
    <row r="26" spans="1:11">
      <c r="A26">
        <v>23</v>
      </c>
      <c r="B26">
        <v>2</v>
      </c>
      <c r="C26" t="s">
        <v>134</v>
      </c>
      <c r="D26" s="7">
        <v>0.65290000000000004</v>
      </c>
      <c r="E26" s="7">
        <v>0.55120000000000002</v>
      </c>
      <c r="F26" s="8">
        <v>5</v>
      </c>
      <c r="G26" s="7">
        <v>0.72360000000000002</v>
      </c>
      <c r="H26" s="7">
        <v>0.53390000000000004</v>
      </c>
      <c r="I26" s="7">
        <v>0.52710000000000001</v>
      </c>
      <c r="K26" s="9">
        <f t="shared" si="0"/>
        <v>0.72360000000000002</v>
      </c>
    </row>
    <row r="27" spans="1:11">
      <c r="A27">
        <v>23</v>
      </c>
      <c r="B27">
        <v>2</v>
      </c>
      <c r="C27" t="s">
        <v>135</v>
      </c>
      <c r="D27" s="7">
        <v>0.66639999999999999</v>
      </c>
      <c r="E27" s="7">
        <v>0.55049999999999999</v>
      </c>
      <c r="F27" s="8">
        <v>5</v>
      </c>
      <c r="G27" s="7">
        <v>0.72670000000000001</v>
      </c>
      <c r="H27" s="7">
        <v>0.52710000000000001</v>
      </c>
      <c r="I27" s="7">
        <v>0.52710000000000001</v>
      </c>
      <c r="K27" s="9">
        <f t="shared" si="0"/>
        <v>0.72670000000000001</v>
      </c>
    </row>
    <row r="28" spans="1:11">
      <c r="A28">
        <v>23</v>
      </c>
      <c r="B28">
        <v>3</v>
      </c>
      <c r="C28" t="s">
        <v>134</v>
      </c>
      <c r="D28" s="7">
        <v>0.44500000000000001</v>
      </c>
      <c r="E28" s="7">
        <v>0.34789999999999999</v>
      </c>
      <c r="F28" s="8">
        <v>3</v>
      </c>
      <c r="G28" s="7">
        <v>0.53539999999999999</v>
      </c>
      <c r="H28" s="7">
        <v>0.36450000000000005</v>
      </c>
      <c r="I28" s="7">
        <v>0.33960000000000001</v>
      </c>
      <c r="K28" s="9">
        <f t="shared" si="0"/>
        <v>0.53539999999999999</v>
      </c>
    </row>
    <row r="29" spans="1:11">
      <c r="A29">
        <v>23</v>
      </c>
      <c r="B29">
        <v>3</v>
      </c>
      <c r="C29" t="s">
        <v>135</v>
      </c>
      <c r="D29" s="7">
        <v>0.44799999999999995</v>
      </c>
      <c r="E29" s="7">
        <v>0.34710000000000002</v>
      </c>
      <c r="F29" s="8">
        <v>3</v>
      </c>
      <c r="G29" s="7">
        <v>0.53539999999999999</v>
      </c>
      <c r="H29" s="7">
        <v>0.34860000000000002</v>
      </c>
      <c r="I29" s="7">
        <v>0.33960000000000001</v>
      </c>
      <c r="K29" s="9">
        <f t="shared" si="0"/>
        <v>0.53539999999999999</v>
      </c>
    </row>
    <row r="30" spans="1:11">
      <c r="A30">
        <v>23</v>
      </c>
      <c r="B30">
        <v>4</v>
      </c>
      <c r="C30" t="s">
        <v>134</v>
      </c>
      <c r="D30" s="7">
        <v>0.35090000000000005</v>
      </c>
      <c r="E30" s="7">
        <v>0.29520000000000002</v>
      </c>
      <c r="F30" s="8">
        <v>2</v>
      </c>
      <c r="G30" s="7">
        <v>0.4239</v>
      </c>
      <c r="H30" s="7">
        <v>0.28160000000000002</v>
      </c>
      <c r="I30" s="7">
        <v>0.22140000000000001</v>
      </c>
      <c r="K30" s="9">
        <f t="shared" si="0"/>
        <v>0.4239</v>
      </c>
    </row>
    <row r="31" spans="1:11">
      <c r="A31">
        <v>23</v>
      </c>
      <c r="B31">
        <v>4</v>
      </c>
      <c r="C31" t="s">
        <v>135</v>
      </c>
      <c r="D31" s="7">
        <v>0.35170000000000001</v>
      </c>
      <c r="E31" s="7">
        <v>0.29520000000000002</v>
      </c>
      <c r="F31" s="8">
        <v>2</v>
      </c>
      <c r="G31" s="7">
        <v>0.4239</v>
      </c>
      <c r="H31" s="7">
        <v>0.28920000000000001</v>
      </c>
      <c r="I31" s="7">
        <v>0.22140000000000001</v>
      </c>
      <c r="K31" s="9">
        <f t="shared" si="0"/>
        <v>0.4239</v>
      </c>
    </row>
    <row r="32" spans="1:11">
      <c r="A32">
        <v>23</v>
      </c>
      <c r="B32">
        <v>5</v>
      </c>
      <c r="C32" t="s">
        <v>134</v>
      </c>
      <c r="D32" s="7">
        <v>0.33509999999999995</v>
      </c>
      <c r="E32" s="7">
        <v>0.22440000000000002</v>
      </c>
      <c r="F32" s="8">
        <v>4</v>
      </c>
      <c r="G32" s="7">
        <v>0.39460000000000001</v>
      </c>
      <c r="H32" s="7">
        <v>0.22140000000000001</v>
      </c>
      <c r="I32" s="7">
        <v>0.1883</v>
      </c>
      <c r="K32" s="9">
        <f t="shared" si="0"/>
        <v>0.39460000000000001</v>
      </c>
    </row>
    <row r="33" spans="1:11">
      <c r="A33">
        <v>23</v>
      </c>
      <c r="B33">
        <v>5</v>
      </c>
      <c r="C33" t="s">
        <v>135</v>
      </c>
      <c r="D33" s="7">
        <v>0.32890000000000003</v>
      </c>
      <c r="E33" s="7">
        <v>0.22440000000000002</v>
      </c>
      <c r="F33" s="8">
        <v>4</v>
      </c>
      <c r="G33" s="7">
        <v>0.39460000000000001</v>
      </c>
      <c r="H33" s="7">
        <v>0.23269999999999999</v>
      </c>
      <c r="I33" s="7">
        <v>0.1883</v>
      </c>
      <c r="K33" s="9">
        <f t="shared" si="0"/>
        <v>0.39460000000000001</v>
      </c>
    </row>
    <row r="34" spans="1:11">
      <c r="A34">
        <v>24</v>
      </c>
      <c r="B34">
        <v>2</v>
      </c>
      <c r="C34" t="s">
        <v>134</v>
      </c>
      <c r="D34" s="7">
        <v>0.64080000000000004</v>
      </c>
      <c r="E34" s="7">
        <v>0.55120000000000002</v>
      </c>
      <c r="F34" s="8">
        <v>5</v>
      </c>
      <c r="G34" s="7">
        <v>0.7229000000000001</v>
      </c>
      <c r="H34" s="7">
        <v>0.52710000000000001</v>
      </c>
      <c r="I34" s="7">
        <v>0.52710000000000001</v>
      </c>
      <c r="K34" s="9">
        <f t="shared" si="0"/>
        <v>0.7229000000000001</v>
      </c>
    </row>
    <row r="35" spans="1:11">
      <c r="A35">
        <v>24</v>
      </c>
      <c r="B35">
        <v>2</v>
      </c>
      <c r="C35" t="s">
        <v>135</v>
      </c>
      <c r="D35" s="7">
        <v>0.6401</v>
      </c>
      <c r="E35" s="7">
        <v>0.55049999999999999</v>
      </c>
      <c r="F35" s="8">
        <v>5</v>
      </c>
      <c r="G35" s="7">
        <v>0.7229000000000001</v>
      </c>
      <c r="H35" s="7">
        <v>0.52259999999999995</v>
      </c>
      <c r="I35" s="7">
        <v>0.52710000000000001</v>
      </c>
      <c r="K35" s="9">
        <f t="shared" si="0"/>
        <v>0.7229000000000001</v>
      </c>
    </row>
    <row r="36" spans="1:11">
      <c r="A36">
        <v>24</v>
      </c>
      <c r="B36">
        <v>3</v>
      </c>
      <c r="C36" t="s">
        <v>134</v>
      </c>
      <c r="D36" s="7">
        <v>0.43979999999999997</v>
      </c>
      <c r="E36" s="7">
        <v>0.34789999999999999</v>
      </c>
      <c r="F36" s="8">
        <v>3</v>
      </c>
      <c r="G36" s="7">
        <v>0.53459999999999996</v>
      </c>
      <c r="H36" s="7">
        <v>0.34710000000000002</v>
      </c>
      <c r="I36" s="7">
        <v>0.33960000000000001</v>
      </c>
      <c r="K36" s="9">
        <f t="shared" si="0"/>
        <v>0.53459999999999996</v>
      </c>
    </row>
    <row r="37" spans="1:11">
      <c r="A37">
        <v>24</v>
      </c>
      <c r="B37">
        <v>3</v>
      </c>
      <c r="C37" t="s">
        <v>135</v>
      </c>
      <c r="D37" s="7">
        <v>0.46229999999999999</v>
      </c>
      <c r="E37" s="7">
        <v>0.34789999999999999</v>
      </c>
      <c r="F37" s="8">
        <v>3</v>
      </c>
      <c r="G37" s="7">
        <v>0.53459999999999996</v>
      </c>
      <c r="H37" s="7">
        <v>0.34789999999999999</v>
      </c>
      <c r="I37" s="7">
        <v>0.33960000000000001</v>
      </c>
      <c r="K37" s="9">
        <f t="shared" si="0"/>
        <v>0.53459999999999996</v>
      </c>
    </row>
    <row r="38" spans="1:11">
      <c r="A38">
        <v>24</v>
      </c>
      <c r="B38">
        <v>4</v>
      </c>
      <c r="C38" t="s">
        <v>134</v>
      </c>
      <c r="D38" s="7">
        <v>0.35240000000000005</v>
      </c>
      <c r="E38" s="7">
        <v>0.2944</v>
      </c>
      <c r="F38" s="6">
        <v>2</v>
      </c>
      <c r="G38" s="7">
        <v>0.4239</v>
      </c>
      <c r="H38" s="7">
        <v>0.28920000000000001</v>
      </c>
      <c r="I38" s="7">
        <v>0.22140000000000001</v>
      </c>
      <c r="K38" s="9">
        <f t="shared" si="0"/>
        <v>0.4239</v>
      </c>
    </row>
    <row r="39" spans="1:11">
      <c r="A39">
        <v>24</v>
      </c>
      <c r="B39">
        <v>4</v>
      </c>
      <c r="C39" t="s">
        <v>135</v>
      </c>
      <c r="D39" s="7">
        <v>0.35840000000000005</v>
      </c>
      <c r="E39" s="7">
        <v>0.29520000000000002</v>
      </c>
      <c r="F39" s="6">
        <v>2</v>
      </c>
      <c r="G39" s="7">
        <v>0.4239</v>
      </c>
      <c r="H39" s="7">
        <v>0.30349999999999999</v>
      </c>
      <c r="I39" s="7">
        <v>0.22140000000000001</v>
      </c>
      <c r="K39" s="9">
        <f t="shared" si="0"/>
        <v>0.4239</v>
      </c>
    </row>
    <row r="40" spans="1:11">
      <c r="A40">
        <v>24</v>
      </c>
      <c r="B40">
        <v>5</v>
      </c>
      <c r="C40" t="s">
        <v>134</v>
      </c>
      <c r="D40" s="7">
        <v>0.31170000000000003</v>
      </c>
      <c r="E40" s="7">
        <v>0.22440000000000002</v>
      </c>
      <c r="F40" s="6">
        <v>4</v>
      </c>
      <c r="G40" s="7">
        <v>0.39460000000000001</v>
      </c>
      <c r="H40" s="7">
        <v>0.23420000000000002</v>
      </c>
      <c r="I40" s="7">
        <v>0.1883</v>
      </c>
      <c r="K40" s="9">
        <f t="shared" si="0"/>
        <v>0.39460000000000001</v>
      </c>
    </row>
    <row r="41" spans="1:11">
      <c r="A41">
        <v>24</v>
      </c>
      <c r="B41">
        <v>5</v>
      </c>
      <c r="C41" t="s">
        <v>135</v>
      </c>
      <c r="D41" s="7">
        <v>0.31170000000000003</v>
      </c>
      <c r="E41" s="7">
        <v>0.22440000000000002</v>
      </c>
      <c r="F41" s="6">
        <v>4</v>
      </c>
      <c r="G41" s="7">
        <v>0.39460000000000001</v>
      </c>
      <c r="H41" s="7">
        <v>0.23269999999999999</v>
      </c>
      <c r="I41" s="7">
        <v>0.1883</v>
      </c>
      <c r="K41" s="9">
        <f t="shared" si="0"/>
        <v>0.39460000000000001</v>
      </c>
    </row>
    <row r="42" spans="1:11">
      <c r="A42">
        <v>25</v>
      </c>
      <c r="B42">
        <v>2</v>
      </c>
      <c r="C42" t="s">
        <v>134</v>
      </c>
      <c r="D42" s="7">
        <v>0.64529999999999998</v>
      </c>
      <c r="E42" s="7">
        <v>0.55120000000000002</v>
      </c>
      <c r="F42" s="6">
        <v>5</v>
      </c>
      <c r="G42" s="7">
        <v>0.72360000000000002</v>
      </c>
      <c r="H42" s="7">
        <v>0.52710000000000001</v>
      </c>
      <c r="I42" s="7">
        <v>0.52710000000000001</v>
      </c>
      <c r="K42" s="9">
        <f t="shared" si="0"/>
        <v>0.72360000000000002</v>
      </c>
    </row>
    <row r="43" spans="1:11">
      <c r="A43">
        <v>25</v>
      </c>
      <c r="B43">
        <v>2</v>
      </c>
      <c r="C43" t="s">
        <v>135</v>
      </c>
      <c r="D43" s="7">
        <v>0.64980000000000004</v>
      </c>
      <c r="E43" s="7">
        <v>0.55120000000000002</v>
      </c>
      <c r="F43" s="6">
        <v>5</v>
      </c>
      <c r="G43" s="7">
        <v>0.72670000000000001</v>
      </c>
      <c r="H43" s="7">
        <v>0.53239999999999998</v>
      </c>
      <c r="I43" s="7">
        <v>0.52710000000000001</v>
      </c>
      <c r="K43" s="9">
        <f t="shared" si="0"/>
        <v>0.72670000000000001</v>
      </c>
    </row>
    <row r="44" spans="1:11">
      <c r="A44">
        <v>25</v>
      </c>
      <c r="B44">
        <v>3</v>
      </c>
      <c r="C44" t="s">
        <v>134</v>
      </c>
      <c r="D44" s="7">
        <v>0.44429999999999997</v>
      </c>
      <c r="E44" s="7">
        <v>0.34789999999999999</v>
      </c>
      <c r="F44" s="6">
        <v>3</v>
      </c>
      <c r="G44" s="7">
        <v>0.52329999999999999</v>
      </c>
      <c r="H44" s="7">
        <v>0.36070000000000002</v>
      </c>
      <c r="I44" s="7">
        <v>0.33960000000000001</v>
      </c>
      <c r="K44" s="9">
        <f t="shared" si="0"/>
        <v>0.52329999999999999</v>
      </c>
    </row>
    <row r="45" spans="1:11">
      <c r="A45">
        <v>25</v>
      </c>
      <c r="B45">
        <v>3</v>
      </c>
      <c r="C45" t="s">
        <v>135</v>
      </c>
      <c r="D45" s="7">
        <v>0.46079999999999999</v>
      </c>
      <c r="E45" s="7">
        <v>0.34789999999999999</v>
      </c>
      <c r="F45" s="6">
        <v>3</v>
      </c>
      <c r="G45" s="7">
        <v>0.52710000000000001</v>
      </c>
      <c r="H45" s="7">
        <v>0.35770000000000002</v>
      </c>
      <c r="I45" s="7">
        <v>0.33960000000000001</v>
      </c>
      <c r="K45" s="9">
        <f t="shared" si="0"/>
        <v>0.52710000000000001</v>
      </c>
    </row>
    <row r="46" spans="1:11">
      <c r="A46">
        <v>25</v>
      </c>
      <c r="B46">
        <v>4</v>
      </c>
      <c r="C46" t="s">
        <v>134</v>
      </c>
      <c r="D46" s="7">
        <v>0.36219999999999997</v>
      </c>
      <c r="E46" s="7">
        <v>0.2959</v>
      </c>
      <c r="F46" s="6">
        <v>2</v>
      </c>
      <c r="G46" s="7">
        <v>0.42700000000000005</v>
      </c>
      <c r="H46" s="7">
        <v>0.2989</v>
      </c>
      <c r="I46" s="7">
        <v>0.22140000000000001</v>
      </c>
      <c r="K46" s="9">
        <f t="shared" si="0"/>
        <v>0.42700000000000005</v>
      </c>
    </row>
    <row r="47" spans="1:11">
      <c r="A47">
        <v>25</v>
      </c>
      <c r="B47">
        <v>4</v>
      </c>
      <c r="C47" t="s">
        <v>135</v>
      </c>
      <c r="D47" s="7">
        <v>0.3614</v>
      </c>
      <c r="E47" s="7">
        <v>0.2959</v>
      </c>
      <c r="F47" s="6">
        <v>2</v>
      </c>
      <c r="G47" s="7">
        <v>0.4194</v>
      </c>
      <c r="H47" s="7">
        <v>0.28770000000000001</v>
      </c>
      <c r="I47" s="7">
        <v>0.22140000000000001</v>
      </c>
      <c r="K47" s="9">
        <f t="shared" si="0"/>
        <v>0.4194</v>
      </c>
    </row>
    <row r="48" spans="1:11">
      <c r="A48">
        <v>25</v>
      </c>
      <c r="B48">
        <v>5</v>
      </c>
      <c r="C48" t="s">
        <v>134</v>
      </c>
      <c r="D48" s="7">
        <v>0.31929999999999997</v>
      </c>
      <c r="E48" s="7">
        <v>0.22440000000000002</v>
      </c>
      <c r="F48" s="6">
        <v>4</v>
      </c>
      <c r="G48" s="7">
        <v>0.39460000000000001</v>
      </c>
      <c r="H48" s="7">
        <v>0.20780000000000001</v>
      </c>
      <c r="I48" s="7">
        <v>0.1883</v>
      </c>
      <c r="K48" s="9">
        <f t="shared" si="0"/>
        <v>0.39460000000000001</v>
      </c>
    </row>
    <row r="49" spans="1:11">
      <c r="A49">
        <v>25</v>
      </c>
      <c r="B49">
        <v>5</v>
      </c>
      <c r="C49" t="s">
        <v>135</v>
      </c>
      <c r="D49" s="7">
        <v>0.32829999999999998</v>
      </c>
      <c r="E49" s="7">
        <v>0.22440000000000002</v>
      </c>
      <c r="F49" s="6">
        <v>4</v>
      </c>
      <c r="G49" s="7">
        <v>0.39460000000000001</v>
      </c>
      <c r="H49" s="7">
        <v>0.22519999999999998</v>
      </c>
      <c r="I49" s="7">
        <v>0.1883</v>
      </c>
      <c r="K49" s="9">
        <f t="shared" si="0"/>
        <v>0.39460000000000001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Overview</vt:lpstr>
      <vt:lpstr>Result</vt:lpstr>
      <vt:lpstr>Results_Helene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Bechtold</dc:creator>
  <cp:lastModifiedBy>Helene Bechtold</cp:lastModifiedBy>
  <dcterms:created xsi:type="dcterms:W3CDTF">2017-11-25T18:28:36Z</dcterms:created>
  <dcterms:modified xsi:type="dcterms:W3CDTF">2017-11-26T12:21:56Z</dcterms:modified>
</cp:coreProperties>
</file>